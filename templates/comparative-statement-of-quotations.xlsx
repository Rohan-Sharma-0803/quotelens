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DCE3EE"/>
      </patternFill>
    </fill>
    <fill>
      <patternFill patternType="solid">
        <fgColor rgb="00FFF1A8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" customWidth="1" min="4" max="4"/>
    <col width="7" customWidth="1" min="5" max="5"/>
    <col width="11" customWidth="1" min="6" max="6"/>
    <col width="13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1" customWidth="1" min="13" max="13"/>
  </cols>
  <sheetData>
    <row r="1">
      <c r="A1" s="1" t="inlineStr">
        <is>
          <t>Comparative Statement of Quotations</t>
        </is>
      </c>
    </row>
    <row r="2">
      <c r="A2" t="inlineStr">
        <is>
          <t>Enquiry / purpose:</t>
        </is>
      </c>
      <c r="C2" t="inlineStr">
        <is>
          <t>Office furniture for new floor (example - replace with your own)</t>
        </is>
      </c>
    </row>
    <row r="3">
      <c r="A3" s="2" t="inlineStr">
        <is>
          <t>Enter all rates EXCLUDING GST. If a quote is GST-inclusive, divide its rate by (1 + GST%). Example data below - overwrite it.</t>
        </is>
      </c>
    </row>
    <row r="5">
      <c r="A5" s="3" t="inlineStr">
        <is>
          <t>S.No</t>
        </is>
      </c>
      <c r="B5" s="3" t="inlineStr">
        <is>
          <t>Item</t>
        </is>
      </c>
      <c r="C5" s="3" t="inlineStr">
        <is>
          <t>Specification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Vendor A rate</t>
        </is>
      </c>
      <c r="G5" s="3" t="inlineStr">
        <is>
          <t>Vendor A amount</t>
        </is>
      </c>
      <c r="H5" s="3" t="inlineStr">
        <is>
          <t>Vendor B rate</t>
        </is>
      </c>
      <c r="I5" s="3" t="inlineStr">
        <is>
          <t>Vendor B amount</t>
        </is>
      </c>
      <c r="J5" s="3" t="inlineStr">
        <is>
          <t>Vendor C rate</t>
        </is>
      </c>
      <c r="K5" s="3" t="inlineStr">
        <is>
          <t>Vendor C amount</t>
        </is>
      </c>
      <c r="L5" s="3" t="inlineStr">
        <is>
          <t>Lowest rate</t>
        </is>
      </c>
      <c r="M5" s="3" t="inlineStr">
        <is>
          <t>Lowest by</t>
        </is>
      </c>
    </row>
    <row r="6">
      <c r="A6" s="4" t="n">
        <v>1</v>
      </c>
      <c r="B6" s="4" t="inlineStr">
        <is>
          <t>Office chair</t>
        </is>
      </c>
      <c r="C6" s="4" t="inlineStr">
        <is>
          <t>Mesh back, adjustable arms</t>
        </is>
      </c>
      <c r="D6" s="4" t="n">
        <v>10</v>
      </c>
      <c r="E6" s="4" t="inlineStr">
        <is>
          <t>Nos</t>
        </is>
      </c>
      <c r="F6" s="5" t="n">
        <v>6200</v>
      </c>
      <c r="G6" s="5">
        <f>IF(F6="","",D6*F6)</f>
        <v/>
      </c>
      <c r="H6" s="5" t="n">
        <v>5900</v>
      </c>
      <c r="I6" s="5">
        <f>IF(H6="","",D6*H6)</f>
        <v/>
      </c>
      <c r="J6" s="5" t="n">
        <v>6100</v>
      </c>
      <c r="K6" s="5">
        <f>IF(J6="","",D6*J6)</f>
        <v/>
      </c>
      <c r="L6" s="5">
        <f>IF(COUNT(F6,H6,J6)=0,"",MIN(F6,H6,J6))</f>
        <v/>
      </c>
      <c r="M6" s="4">
        <f>IF(L6="","",IF(F6=L6,"Vendor A",IF(H6=L6,"Vendor B","Vendor C")))</f>
        <v/>
      </c>
    </row>
    <row r="7">
      <c r="A7" s="4" t="n">
        <v>2</v>
      </c>
      <c r="B7" s="4" t="inlineStr">
        <is>
          <t>Workstation desk</t>
        </is>
      </c>
      <c r="C7" s="4" t="inlineStr">
        <is>
          <t>1200 x 600 mm, 25 mm top</t>
        </is>
      </c>
      <c r="D7" s="4" t="n">
        <v>10</v>
      </c>
      <c r="E7" s="4" t="inlineStr">
        <is>
          <t>Nos</t>
        </is>
      </c>
      <c r="F7" s="5" t="n">
        <v>8400</v>
      </c>
      <c r="G7" s="5">
        <f>IF(F7="","",D7*F7)</f>
        <v/>
      </c>
      <c r="H7" s="5" t="n">
        <v>8900</v>
      </c>
      <c r="I7" s="5">
        <f>IF(H7="","",D7*H7)</f>
        <v/>
      </c>
      <c r="J7" s="5" t="n">
        <v>8400</v>
      </c>
      <c r="K7" s="5">
        <f>IF(J7="","",D7*J7)</f>
        <v/>
      </c>
      <c r="L7" s="5">
        <f>IF(COUNT(F7,H7,J7)=0,"",MIN(F7,H7,J7))</f>
        <v/>
      </c>
      <c r="M7" s="4">
        <f>IF(L7="","",IF(F7=L7,"Vendor A",IF(H7=L7,"Vendor B","Vendor C")))</f>
        <v/>
      </c>
    </row>
    <row r="8">
      <c r="A8" s="4" t="n">
        <v>3</v>
      </c>
      <c r="B8" s="4" t="inlineStr">
        <is>
          <t>Storage cabinet</t>
        </is>
      </c>
      <c r="C8" s="4" t="inlineStr">
        <is>
          <t>Steel, 4 shelves, lockable</t>
        </is>
      </c>
      <c r="D8" s="4" t="n">
        <v>4</v>
      </c>
      <c r="E8" s="4" t="inlineStr">
        <is>
          <t>Nos</t>
        </is>
      </c>
      <c r="F8" s="5" t="n">
        <v>11500</v>
      </c>
      <c r="G8" s="5">
        <f>IF(F8="","",D8*F8)</f>
        <v/>
      </c>
      <c r="H8" s="5" t="n">
        <v>10800</v>
      </c>
      <c r="I8" s="5">
        <f>IF(H8="","",D8*H8)</f>
        <v/>
      </c>
      <c r="J8" s="5" t="n">
        <v>11200</v>
      </c>
      <c r="K8" s="5">
        <f>IF(J8="","",D8*J8)</f>
        <v/>
      </c>
      <c r="L8" s="5">
        <f>IF(COUNT(F8,H8,J8)=0,"",MIN(F8,H8,J8))</f>
        <v/>
      </c>
      <c r="M8" s="4">
        <f>IF(L8="","",IF(F8=L8,"Vendor A",IF(H8=L8,"Vendor B","Vendor C")))</f>
        <v/>
      </c>
    </row>
    <row r="9">
      <c r="A9" s="4" t="n">
        <v>4</v>
      </c>
      <c r="B9" s="4" t="n"/>
      <c r="C9" s="4" t="n"/>
      <c r="D9" s="4" t="n"/>
      <c r="E9" s="4" t="n"/>
      <c r="F9" s="5" t="n"/>
      <c r="G9" s="5">
        <f>IF(F9="","",D9*F9)</f>
        <v/>
      </c>
      <c r="H9" s="5" t="n"/>
      <c r="I9" s="5">
        <f>IF(H9="","",D9*H9)</f>
        <v/>
      </c>
      <c r="J9" s="5" t="n"/>
      <c r="K9" s="5">
        <f>IF(J9="","",D9*J9)</f>
        <v/>
      </c>
      <c r="L9" s="5">
        <f>IF(COUNT(F9,H9,J9)=0,"",MIN(F9,H9,J9))</f>
        <v/>
      </c>
      <c r="M9" s="4">
        <f>IF(L9="","",IF(F9=L9,"Vendor A",IF(H9=L9,"Vendor B","Vendor C")))</f>
        <v/>
      </c>
    </row>
    <row r="10">
      <c r="A10" s="4" t="n">
        <v>5</v>
      </c>
      <c r="B10" s="4" t="n"/>
      <c r="C10" s="4" t="n"/>
      <c r="D10" s="4" t="n"/>
      <c r="E10" s="4" t="n"/>
      <c r="F10" s="5" t="n"/>
      <c r="G10" s="5">
        <f>IF(F10="","",D10*F10)</f>
        <v/>
      </c>
      <c r="H10" s="5" t="n"/>
      <c r="I10" s="5">
        <f>IF(H10="","",D10*H10)</f>
        <v/>
      </c>
      <c r="J10" s="5" t="n"/>
      <c r="K10" s="5">
        <f>IF(J10="","",D10*J10)</f>
        <v/>
      </c>
      <c r="L10" s="5">
        <f>IF(COUNT(F10,H10,J10)=0,"",MIN(F10,H10,J10))</f>
        <v/>
      </c>
      <c r="M10" s="4">
        <f>IF(L10="","",IF(F10=L10,"Vendor A",IF(H10=L10,"Vendor B","Vendor C")))</f>
        <v/>
      </c>
    </row>
    <row r="11">
      <c r="A11" s="4" t="n">
        <v>6</v>
      </c>
      <c r="B11" s="4" t="n"/>
      <c r="C11" s="4" t="n"/>
      <c r="D11" s="4" t="n"/>
      <c r="E11" s="4" t="n"/>
      <c r="F11" s="5" t="n"/>
      <c r="G11" s="5">
        <f>IF(F11="","",D11*F11)</f>
        <v/>
      </c>
      <c r="H11" s="5" t="n"/>
      <c r="I11" s="5">
        <f>IF(H11="","",D11*H11)</f>
        <v/>
      </c>
      <c r="J11" s="5" t="n"/>
      <c r="K11" s="5">
        <f>IF(J11="","",D11*J11)</f>
        <v/>
      </c>
      <c r="L11" s="5">
        <f>IF(COUNT(F11,H11,J11)=0,"",MIN(F11,H11,J11))</f>
        <v/>
      </c>
      <c r="M11" s="4">
        <f>IF(L11="","",IF(F11=L11,"Vendor A",IF(H11=L11,"Vendor B","Vendor C")))</f>
        <v/>
      </c>
    </row>
    <row r="12">
      <c r="A12" s="4" t="n">
        <v>7</v>
      </c>
      <c r="B12" s="4" t="n"/>
      <c r="C12" s="4" t="n"/>
      <c r="D12" s="4" t="n"/>
      <c r="E12" s="4" t="n"/>
      <c r="F12" s="5" t="n"/>
      <c r="G12" s="5">
        <f>IF(F12="","",D12*F12)</f>
        <v/>
      </c>
      <c r="H12" s="5" t="n"/>
      <c r="I12" s="5">
        <f>IF(H12="","",D12*H12)</f>
        <v/>
      </c>
      <c r="J12" s="5" t="n"/>
      <c r="K12" s="5">
        <f>IF(J12="","",D12*J12)</f>
        <v/>
      </c>
      <c r="L12" s="5">
        <f>IF(COUNT(F12,H12,J12)=0,"",MIN(F12,H12,J12))</f>
        <v/>
      </c>
      <c r="M12" s="4">
        <f>IF(L12="","",IF(F12=L12,"Vendor A",IF(H12=L12,"Vendor B","Vendor C")))</f>
        <v/>
      </c>
    </row>
    <row r="13">
      <c r="F13" s="6" t="n"/>
      <c r="G13" s="6" t="n"/>
      <c r="H13" s="6" t="n"/>
      <c r="I13" s="6" t="n"/>
      <c r="J13" s="6" t="n"/>
      <c r="K13" s="6" t="n"/>
      <c r="L13" s="6" t="n"/>
    </row>
    <row r="14">
      <c r="B14" s="7" t="inlineStr">
        <is>
          <t>Basic total</t>
        </is>
      </c>
      <c r="F14" s="6" t="n"/>
      <c r="G14" s="5">
        <f>SUM(G6:G12)</f>
        <v/>
      </c>
      <c r="H14" s="6" t="n"/>
      <c r="I14" s="5">
        <f>SUM(I6:I12)</f>
        <v/>
      </c>
      <c r="J14" s="6" t="n"/>
      <c r="K14" s="5">
        <f>SUM(K6:K12)</f>
        <v/>
      </c>
      <c r="L14" s="6" t="n"/>
    </row>
    <row r="15">
      <c r="B15" s="7" t="inlineStr">
        <is>
          <t>Freight / delivery</t>
        </is>
      </c>
      <c r="F15" s="6" t="n"/>
      <c r="G15" s="5" t="n">
        <v>0</v>
      </c>
      <c r="H15" s="6" t="n"/>
      <c r="I15" s="5" t="n">
        <v>3500</v>
      </c>
      <c r="J15" s="6" t="n"/>
      <c r="K15" s="5" t="n">
        <v>0</v>
      </c>
      <c r="L15" s="6" t="n"/>
    </row>
    <row r="16">
      <c r="B16" s="7" t="inlineStr">
        <is>
          <t>Loading, installation, other charges</t>
        </is>
      </c>
      <c r="F16" s="6" t="n"/>
      <c r="G16" s="5" t="n">
        <v>0</v>
      </c>
      <c r="H16" s="6" t="n"/>
      <c r="I16" s="5" t="n">
        <v>0</v>
      </c>
      <c r="J16" s="6" t="n"/>
      <c r="K16" s="5" t="n">
        <v>2000</v>
      </c>
      <c r="L16" s="6" t="n"/>
    </row>
    <row r="17">
      <c r="B17" s="7" t="inlineStr">
        <is>
          <t>Taxable value</t>
        </is>
      </c>
      <c r="F17" s="6" t="n"/>
      <c r="G17" s="5">
        <f>G14+G15+G16</f>
        <v/>
      </c>
      <c r="H17" s="6" t="n"/>
      <c r="I17" s="5">
        <f>I14+I15+I16</f>
        <v/>
      </c>
      <c r="J17" s="6" t="n"/>
      <c r="K17" s="5">
        <f>K14+K15+K16</f>
        <v/>
      </c>
      <c r="L17" s="6" t="n"/>
    </row>
    <row r="18">
      <c r="B18" s="7" t="inlineStr">
        <is>
          <t>GST %</t>
        </is>
      </c>
      <c r="F18" s="6" t="n"/>
      <c r="G18" s="5" t="n">
        <v>18</v>
      </c>
      <c r="H18" s="6" t="n"/>
      <c r="I18" s="5" t="n">
        <v>18</v>
      </c>
      <c r="J18" s="6" t="n"/>
      <c r="K18" s="5" t="n">
        <v>18</v>
      </c>
      <c r="L18" s="6" t="n"/>
    </row>
    <row r="19">
      <c r="B19" s="7" t="inlineStr">
        <is>
          <t>GST amount</t>
        </is>
      </c>
      <c r="F19" s="6" t="n"/>
      <c r="G19" s="5">
        <f>ROUND(G17*G18/100,0)</f>
        <v/>
      </c>
      <c r="H19" s="6" t="n"/>
      <c r="I19" s="5">
        <f>ROUND(I17*I18/100,0)</f>
        <v/>
      </c>
      <c r="J19" s="6" t="n"/>
      <c r="K19" s="5">
        <f>ROUND(K17*K18/100,0)</f>
        <v/>
      </c>
      <c r="L19" s="6" t="n"/>
    </row>
    <row r="20">
      <c r="B20" s="8" t="inlineStr">
        <is>
          <t>Grand total (landed cost)</t>
        </is>
      </c>
      <c r="F20" s="6" t="n"/>
      <c r="G20" s="5">
        <f>G17+G19</f>
        <v/>
      </c>
      <c r="H20" s="6" t="n"/>
      <c r="I20" s="5">
        <f>I17+I19</f>
        <v/>
      </c>
      <c r="J20" s="6" t="n"/>
      <c r="K20" s="5">
        <f>K17+K19</f>
        <v/>
      </c>
      <c r="L20" s="6" t="n"/>
    </row>
    <row r="21">
      <c r="B21" s="7" t="inlineStr">
        <is>
          <t>Rank (L1 = lowest)</t>
        </is>
      </c>
      <c r="F21" s="6" t="n"/>
      <c r="G21" s="5">
        <f>"L"&amp;(1+(I20&lt;G20)+(K20&lt;G20))</f>
        <v/>
      </c>
      <c r="H21" s="6" t="n"/>
      <c r="I21" s="5">
        <f>"L"&amp;(1+(G20&lt;I20)+(K20&lt;I20))</f>
        <v/>
      </c>
      <c r="J21" s="6" t="n"/>
      <c r="K21" s="5">
        <f>"L"&amp;(1+(G20&lt;K20)+(I20&lt;K20))</f>
        <v/>
      </c>
      <c r="L21" s="6" t="n"/>
    </row>
    <row r="22">
      <c r="B22" s="7" t="inlineStr">
        <is>
          <t>Payment terms</t>
        </is>
      </c>
      <c r="F22" s="6" t="n"/>
      <c r="G22" s="5" t="inlineStr">
        <is>
          <t>30 days credit</t>
        </is>
      </c>
      <c r="H22" s="6" t="n"/>
      <c r="I22" s="5" t="inlineStr">
        <is>
          <t>50% advance</t>
        </is>
      </c>
      <c r="J22" s="6" t="n"/>
      <c r="K22" s="5" t="inlineStr">
        <is>
          <t>100% against delivery</t>
        </is>
      </c>
      <c r="L22" s="6" t="n"/>
    </row>
    <row r="23">
      <c r="B23" s="7" t="inlineStr">
        <is>
          <t>Delivery period</t>
        </is>
      </c>
      <c r="F23" s="6" t="n"/>
      <c r="G23" s="5" t="inlineStr">
        <is>
          <t>15 days</t>
        </is>
      </c>
      <c r="H23" s="6" t="n"/>
      <c r="I23" s="5" t="inlineStr">
        <is>
          <t>10 days</t>
        </is>
      </c>
      <c r="J23" s="6" t="n"/>
      <c r="K23" s="5" t="inlineStr">
        <is>
          <t>21 days</t>
        </is>
      </c>
      <c r="L23" s="6" t="n"/>
    </row>
    <row r="24">
      <c r="B24" s="7" t="inlineStr">
        <is>
          <t>Quote validity</t>
        </is>
      </c>
      <c r="F24" s="6" t="n"/>
      <c r="G24" s="5" t="inlineStr">
        <is>
          <t>30 days</t>
        </is>
      </c>
      <c r="H24" s="6" t="n"/>
      <c r="I24" s="5" t="inlineStr">
        <is>
          <t>15 days</t>
        </is>
      </c>
      <c r="J24" s="6" t="n"/>
      <c r="K24" s="5" t="inlineStr">
        <is>
          <t>30 days</t>
        </is>
      </c>
      <c r="L24" s="6" t="n"/>
    </row>
    <row r="25">
      <c r="B25" s="7" t="inlineStr">
        <is>
          <t>Warranty</t>
        </is>
      </c>
      <c r="F25" s="6" t="n"/>
      <c r="G25" s="5" t="inlineStr">
        <is>
          <t>1 year</t>
        </is>
      </c>
      <c r="H25" s="6" t="n"/>
      <c r="I25" s="5" t="inlineStr">
        <is>
          <t>1 year</t>
        </is>
      </c>
      <c r="J25" s="6" t="n"/>
      <c r="K25" s="5" t="inlineStr">
        <is>
          <t>3 years</t>
        </is>
      </c>
      <c r="L25" s="6" t="n"/>
    </row>
    <row r="26">
      <c r="B26" s="7" t="inlineStr">
        <is>
          <t>Meets specification? (Y/N)</t>
        </is>
      </c>
      <c r="F26" s="6" t="n"/>
      <c r="G26" s="5" t="inlineStr">
        <is>
          <t>Y</t>
        </is>
      </c>
      <c r="H26" s="6" t="n"/>
      <c r="I26" s="5" t="inlineStr">
        <is>
          <t>Y</t>
        </is>
      </c>
      <c r="J26" s="6" t="n"/>
      <c r="K26" s="5" t="inlineStr">
        <is>
          <t>Y</t>
        </is>
      </c>
      <c r="L26" s="6" t="n"/>
    </row>
    <row r="27">
      <c r="F27" s="6" t="n"/>
      <c r="G27" s="6" t="n"/>
      <c r="H27" s="6" t="n"/>
      <c r="I27" s="6" t="n"/>
      <c r="J27" s="6" t="n"/>
      <c r="K27" s="6" t="n"/>
      <c r="L27" s="6" t="n"/>
    </row>
    <row r="28">
      <c r="B28" s="7" t="inlineStr">
        <is>
          <t>Recommendation:</t>
        </is>
      </c>
    </row>
    <row r="29">
      <c r="B29" t="inlineStr">
        <is>
          <t>Prepared by:</t>
        </is>
      </c>
    </row>
    <row r="30">
      <c r="B30" t="inlineStr">
        <is>
          <t>Checked by:</t>
        </is>
      </c>
    </row>
    <row r="31">
      <c r="B31" t="inlineStr">
        <is>
          <t>Approved by: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2026-10-14T03:23:09Z</dcterms:created>
  <dcterms:modified xmlns:dcterms="http://purl.org/dc/terms/" xmlns:xsi="http://www.w3.org/2001/XMLSchema-instance" xsi:type="dcterms:W3CDTF">2026-10-14T03:23:09Z</dcterms:modified>
</cp:coreProperties>
</file>